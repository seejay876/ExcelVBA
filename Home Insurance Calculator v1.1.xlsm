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ThisWorkbook" defaultThemeVersion="166925"/>
  <mc:AlternateContent xmlns:mc="http://schemas.openxmlformats.org/markup-compatibility/2006">
    <mc:Choice Requires="x15">
      <x15ac:absPath xmlns:x15ac="http://schemas.microsoft.com/office/spreadsheetml/2010/11/ac" url="https://d.docs.live.net/6d0ed6c1d5bfb680/Documents/Excel VBA/"/>
    </mc:Choice>
  </mc:AlternateContent>
  <xr:revisionPtr revIDLastSave="65" documentId="8_{8F759248-F089-42B3-B582-86534143909D}" xr6:coauthVersionLast="47" xr6:coauthVersionMax="47" xr10:uidLastSave="{47D331AE-4251-42E1-B707-F18361600D6A}"/>
  <bookViews>
    <workbookView xWindow="20370" yWindow="-6705" windowWidth="29040" windowHeight="15840" xr2:uid="{4C3B9FF8-4849-4C01-B35D-8134CB23FDBC}"/>
  </bookViews>
  <sheets>
    <sheet name="Home" sheetId="2" r:id="rId1"/>
    <sheet name="Data" sheetId="1"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A8" i="1" l="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7" i="1"/>
  <c r="A6" i="1"/>
  <c r="A5" i="1"/>
</calcChain>
</file>

<file path=xl/sharedStrings.xml><?xml version="1.0" encoding="utf-8"?>
<sst xmlns="http://schemas.openxmlformats.org/spreadsheetml/2006/main" count="28" uniqueCount="23">
  <si>
    <t>Base Rate</t>
  </si>
  <si>
    <t>Policy Fee</t>
  </si>
  <si>
    <t>AOI</t>
  </si>
  <si>
    <t>Rate Relativity</t>
  </si>
  <si>
    <t>Territory</t>
  </si>
  <si>
    <t>Construction</t>
  </si>
  <si>
    <t>Frame</t>
  </si>
  <si>
    <t>Masonry</t>
  </si>
  <si>
    <t>Deductible</t>
  </si>
  <si>
    <t>Misc Credits</t>
  </si>
  <si>
    <t>Credit Amount</t>
  </si>
  <si>
    <t>New Home Discount</t>
  </si>
  <si>
    <t>5-Year Claims Free Discount</t>
  </si>
  <si>
    <t>Multi Policy Discount</t>
  </si>
  <si>
    <t>Increased Jewelry Coverage Limit</t>
  </si>
  <si>
    <t>Limit</t>
  </si>
  <si>
    <t>Rate</t>
  </si>
  <si>
    <t>$100,000/$500</t>
  </si>
  <si>
    <t>$300,000/$1,000</t>
  </si>
  <si>
    <t>$500,000/$2,500</t>
  </si>
  <si>
    <t>Increased Liability/Medical Coverage</t>
  </si>
  <si>
    <t>Credits</t>
  </si>
  <si>
    <t>Additional Optional Coverages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</si>
</sst>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43" formatCode="_(* #,##0.00_);_(* \(#,##0.00\);_(* &quot;-&quot;??_);_(@_)"/>
    <numFmt numFmtId="164" formatCode="_(* #,##0_);_(* \(#,##0\);_(* &quot;-&quot;??_);_(@_)"/>
  </numFmts>
  <fonts count="4" x14ac:knownFonts="1">
    <font>
      <sz val="11"/>
      <color theme="1"/>
      <name val="Calibri"/>
      <family val="2"/>
      <scheme val="minor"/>
    </font>
    <font>
      <sz val="11"/>
      <color theme="1"/>
      <name val="Calibri"/>
      <family val="2"/>
      <scheme val="minor"/>
    </font>
    <font>
      <b/>
      <sz val="12"/>
      <color theme="1"/>
      <name val="Calibri"/>
      <family val="2"/>
      <scheme val="minor"/>
    </font>
    <font>
      <sz val="11"/>
      <color rgb="FF000000"/>
      <name val="Calibri"/>
      <family val="2"/>
      <scheme val="minor"/>
    </font>
  </fonts>
  <fills count="6">
    <fill>
      <patternFill patternType="none"/>
    </fill>
    <fill>
      <patternFill patternType="gray125"/>
    </fill>
    <fill>
      <patternFill patternType="solid">
        <fgColor theme="7"/>
        <bgColor indexed="64"/>
      </patternFill>
    </fill>
    <fill>
      <patternFill patternType="solid">
        <fgColor theme="9" tint="0.39997558519241921"/>
        <bgColor indexed="64"/>
      </patternFill>
    </fill>
    <fill>
      <patternFill patternType="solid">
        <fgColor rgb="FF00B0F0"/>
        <bgColor indexed="64"/>
      </patternFill>
    </fill>
    <fill>
      <patternFill patternType="solid">
        <fgColor theme="8" tint="0.59999389629810485"/>
        <bgColor indexed="64"/>
      </patternFill>
    </fill>
  </fills>
  <borders count="1">
    <border>
      <left/>
      <right/>
      <top/>
      <bottom/>
      <diagonal/>
    </border>
  </borders>
  <cellStyleXfs count="3">
    <xf numFmtId="0" fontId="0" fillId="0" borderId="0"/>
    <xf numFmtId="43" fontId="1" fillId="0" borderId="0" applyFont="0" applyFill="0" applyBorder="0" applyAlignment="0" applyProtection="0"/>
    <xf numFmtId="44" fontId="1" fillId="0" borderId="0" applyFont="0" applyFill="0" applyBorder="0" applyAlignment="0" applyProtection="0"/>
  </cellStyleXfs>
  <cellXfs count="19">
    <xf numFmtId="0" fontId="0" fillId="0" borderId="0" xfId="0"/>
    <xf numFmtId="9" fontId="0" fillId="0" borderId="0" xfId="0" applyNumberFormat="1"/>
    <xf numFmtId="0" fontId="2" fillId="2" borderId="0" xfId="0" applyFont="1" applyFill="1"/>
    <xf numFmtId="0" fontId="2" fillId="2" borderId="0" xfId="0" applyFont="1" applyFill="1" applyAlignment="1">
      <alignment wrapText="1"/>
    </xf>
    <xf numFmtId="0" fontId="2" fillId="3" borderId="0" xfId="0" applyFont="1" applyFill="1"/>
    <xf numFmtId="0" fontId="2" fillId="3" borderId="0" xfId="0" applyFont="1" applyFill="1" applyAlignment="1">
      <alignment wrapText="1"/>
    </xf>
    <xf numFmtId="44" fontId="0" fillId="0" borderId="0" xfId="2" applyFont="1"/>
    <xf numFmtId="43" fontId="0" fillId="0" borderId="0" xfId="1" applyFont="1"/>
    <xf numFmtId="164" fontId="0" fillId="0" borderId="0" xfId="1" applyNumberFormat="1" applyFont="1"/>
    <xf numFmtId="2" fontId="0" fillId="0" borderId="0" xfId="0" applyNumberFormat="1"/>
    <xf numFmtId="0" fontId="0" fillId="4" borderId="0" xfId="0" applyFill="1"/>
    <xf numFmtId="0" fontId="2" fillId="5" borderId="0" xfId="0" applyFont="1" applyFill="1"/>
    <xf numFmtId="0" fontId="3" fillId="0" borderId="0" xfId="0" applyFont="1" applyAlignment="1">
      <alignment horizontal="center" vertical="center"/>
    </xf>
    <xf numFmtId="2" fontId="0" fillId="0" borderId="0" xfId="2" applyNumberFormat="1" applyFont="1"/>
    <xf numFmtId="1" fontId="0" fillId="0" borderId="0" xfId="0" applyNumberFormat="1" applyAlignment="1">
      <alignment horizontal="right"/>
    </xf>
    <xf numFmtId="0" fontId="2" fillId="2" borderId="0" xfId="0" applyFont="1" applyFill="1" applyAlignment="1">
      <alignment horizontal="center"/>
    </xf>
    <xf numFmtId="0" fontId="2" fillId="3" borderId="0" xfId="0" applyFont="1" applyFill="1" applyAlignment="1">
      <alignment horizontal="center"/>
    </xf>
    <xf numFmtId="0" fontId="2" fillId="5" borderId="0" xfId="0" applyFont="1" applyFill="1" applyAlignment="1">
      <alignment horizontal="center"/>
    </xf>
    <xf numFmtId="0" fontId="0" fillId="0" borderId="0" xfId="0" applyAlignment="1">
      <alignment horizontal="center" wrapText="1"/>
    </xf>
  </cellXfs>
  <cellStyles count="3">
    <cellStyle name="Comma" xfId="1" builtinId="3"/>
    <cellStyle name="Currency" xfId="2" builtinId="4"/>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3</xdr:col>
      <xdr:colOff>142875</xdr:colOff>
      <xdr:row>2</xdr:row>
      <xdr:rowOff>47625</xdr:rowOff>
    </xdr:from>
    <xdr:to>
      <xdr:col>13</xdr:col>
      <xdr:colOff>114300</xdr:colOff>
      <xdr:row>27</xdr:row>
      <xdr:rowOff>9525</xdr:rowOff>
    </xdr:to>
    <xdr:sp macro="" textlink="">
      <xdr:nvSpPr>
        <xdr:cNvPr id="2" name="Rectangle 1">
          <a:extLst>
            <a:ext uri="{FF2B5EF4-FFF2-40B4-BE49-F238E27FC236}">
              <a16:creationId xmlns:a16="http://schemas.microsoft.com/office/drawing/2014/main" id="{C3D71B1E-DCDF-49E0-A1D0-98343CD60111}"/>
            </a:ext>
          </a:extLst>
        </xdr:cNvPr>
        <xdr:cNvSpPr/>
      </xdr:nvSpPr>
      <xdr:spPr>
        <a:xfrm>
          <a:off x="1971675" y="428625"/>
          <a:ext cx="6067425" cy="4724400"/>
        </a:xfrm>
        <a:prstGeom prst="rect">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b="1">
              <a:solidFill>
                <a:sysClr val="windowText" lastClr="000000"/>
              </a:solidFill>
            </a:rPr>
            <a:t>Preface</a:t>
          </a:r>
        </a:p>
        <a:p>
          <a:pPr algn="l"/>
          <a:endParaRPr lang="en-US" sz="1400" b="0">
            <a:solidFill>
              <a:sysClr val="windowText" lastClr="000000"/>
            </a:solidFill>
          </a:endParaRPr>
        </a:p>
        <a:p>
          <a:pPr algn="l"/>
          <a:r>
            <a:rPr lang="en-US" sz="1400" b="0">
              <a:solidFill>
                <a:sysClr val="windowText" lastClr="000000"/>
              </a:solidFill>
            </a:rPr>
            <a:t>Due to the fact that I</a:t>
          </a:r>
          <a:r>
            <a:rPr lang="en-US" sz="1400" b="0" baseline="0">
              <a:solidFill>
                <a:sysClr val="windowText" lastClr="000000"/>
              </a:solidFill>
            </a:rPr>
            <a:t> am lacking in actuarial modelling experience, I decided to scour the internet to see if there was anything related to an actuarial model project. I came agross a blog by Ugur at </a:t>
          </a:r>
          <a:r>
            <a:rPr lang="en-US" sz="1400">
              <a:hlinkClick xmlns:r="http://schemas.openxmlformats.org/officeDocument/2006/relationships" r:id=""/>
            </a:rPr>
            <a:t>Actuarial Model in Excel - homeowners rating model (spreadsheetweb.com)</a:t>
          </a:r>
          <a:r>
            <a:rPr lang="en-US" sz="1400"/>
            <a:t> </a:t>
          </a:r>
          <a:r>
            <a:rPr lang="en-US" sz="1400" baseline="0"/>
            <a:t> </a:t>
          </a:r>
          <a:r>
            <a:rPr lang="en-US" sz="1400" baseline="0">
              <a:solidFill>
                <a:sysClr val="windowText" lastClr="000000"/>
              </a:solidFill>
            </a:rPr>
            <a:t>that had an excel spreadsheet to calculate the premium for home insurance based on information specified by the applicant.</a:t>
          </a:r>
        </a:p>
        <a:p>
          <a:pPr algn="l"/>
          <a:endParaRPr lang="en-US" sz="1400" b="0" baseline="0">
            <a:solidFill>
              <a:sysClr val="windowText" lastClr="000000"/>
            </a:solidFill>
          </a:endParaRPr>
        </a:p>
        <a:p>
          <a:pPr algn="l"/>
          <a:r>
            <a:rPr lang="en-US" sz="1400" b="0" baseline="0">
              <a:solidFill>
                <a:sysClr val="windowText" lastClr="000000"/>
              </a:solidFill>
            </a:rPr>
            <a:t>I then proceeded to use the guideline given to create a more friendly userform than the spreadsheet on the website. While doing this, I used various VBA techniques, which included, but were not limited to VLookups, If statements, For statements and nested Ifs. There were also stop gaps utilized in the event the user inputted incorrect/inappropriate data in each field.</a:t>
          </a:r>
        </a:p>
        <a:p>
          <a:pPr algn="l"/>
          <a:endParaRPr lang="en-US" sz="1400" b="0" baseline="0">
            <a:solidFill>
              <a:sysClr val="windowText" lastClr="000000"/>
            </a:solidFill>
          </a:endParaRPr>
        </a:p>
        <a:p>
          <a:pPr algn="l"/>
          <a:r>
            <a:rPr lang="en-US" sz="1400" b="0">
              <a:solidFill>
                <a:sysClr val="windowText" lastClr="000000"/>
              </a:solidFill>
            </a:rPr>
            <a:t>I would very much like to thank Ugur for publishing</a:t>
          </a:r>
          <a:r>
            <a:rPr lang="en-US" sz="1400" b="0" baseline="0">
              <a:solidFill>
                <a:sysClr val="windowText" lastClr="000000"/>
              </a:solidFill>
            </a:rPr>
            <a:t> their work, as without it, none of this would be possible.</a:t>
          </a:r>
        </a:p>
        <a:p>
          <a:pPr algn="l"/>
          <a:endParaRPr lang="en-US" sz="1400" b="0" baseline="0">
            <a:solidFill>
              <a:sysClr val="windowText" lastClr="000000"/>
            </a:solidFill>
          </a:endParaRPr>
        </a:p>
        <a:p>
          <a:pPr algn="l"/>
          <a:r>
            <a:rPr lang="en-US" sz="1400" b="0" baseline="0">
              <a:solidFill>
                <a:sysClr val="windowText" lastClr="000000"/>
              </a:solidFill>
            </a:rPr>
            <a:t>- Cyprain Thompson</a:t>
          </a:r>
          <a:endParaRPr lang="en-US" sz="1400" b="0">
            <a:solidFill>
              <a:sysClr val="windowText" lastClr="000000"/>
            </a:solidFill>
          </a:endParaRPr>
        </a:p>
      </xdr:txBody>
    </xdr:sp>
    <xdr:clientData/>
  </xdr:twoCellAnchor>
  <xdr:twoCellAnchor>
    <xdr:from>
      <xdr:col>14</xdr:col>
      <xdr:colOff>85725</xdr:colOff>
      <xdr:row>12</xdr:row>
      <xdr:rowOff>123825</xdr:rowOff>
    </xdr:from>
    <xdr:to>
      <xdr:col>17</xdr:col>
      <xdr:colOff>85725</xdr:colOff>
      <xdr:row>22</xdr:row>
      <xdr:rowOff>142875</xdr:rowOff>
    </xdr:to>
    <xdr:sp macro="[0]!Home_Calculator" textlink="">
      <xdr:nvSpPr>
        <xdr:cNvPr id="3" name="Rectangle 2">
          <a:extLst>
            <a:ext uri="{FF2B5EF4-FFF2-40B4-BE49-F238E27FC236}">
              <a16:creationId xmlns:a16="http://schemas.microsoft.com/office/drawing/2014/main" id="{8F382D86-E871-4261-9186-7DD137A0D33B}"/>
            </a:ext>
          </a:extLst>
        </xdr:cNvPr>
        <xdr:cNvSpPr/>
      </xdr:nvSpPr>
      <xdr:spPr>
        <a:xfrm>
          <a:off x="8620125" y="2409825"/>
          <a:ext cx="1828800" cy="1924050"/>
        </a:xfrm>
        <a:prstGeom prst="rect">
          <a:avLst/>
        </a:prstGeom>
        <a:solidFill>
          <a:schemeClr val="accent2">
            <a:lumMod val="60000"/>
            <a:lumOff val="4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600" b="0" i="0" u="none" strike="noStrike">
              <a:solidFill>
                <a:schemeClr val="dk1"/>
              </a:solidFill>
              <a:effectLst/>
              <a:latin typeface="+mn-lt"/>
              <a:ea typeface="+mn-ea"/>
              <a:cs typeface="+mn-cs"/>
            </a:rPr>
            <a:t>Click here to launch the Home Insurance Calculator</a:t>
          </a:r>
          <a:r>
            <a:rPr lang="en-US" sz="1600" b="0"/>
            <a:t> </a:t>
          </a:r>
        </a:p>
      </xdr:txBody>
    </xdr:sp>
    <xdr:clientData/>
  </xdr:twoCellAnchor>
  <xdr:twoCellAnchor>
    <xdr:from>
      <xdr:col>14</xdr:col>
      <xdr:colOff>85725</xdr:colOff>
      <xdr:row>6</xdr:row>
      <xdr:rowOff>123825</xdr:rowOff>
    </xdr:from>
    <xdr:to>
      <xdr:col>17</xdr:col>
      <xdr:colOff>66675</xdr:colOff>
      <xdr:row>12</xdr:row>
      <xdr:rowOff>104775</xdr:rowOff>
    </xdr:to>
    <xdr:sp macro="[0]!Home_Calculator" textlink="">
      <xdr:nvSpPr>
        <xdr:cNvPr id="4" name="Isosceles Triangle 3">
          <a:extLst>
            <a:ext uri="{FF2B5EF4-FFF2-40B4-BE49-F238E27FC236}">
              <a16:creationId xmlns:a16="http://schemas.microsoft.com/office/drawing/2014/main" id="{852FB3AB-7F5A-4FEE-BA3C-E81BB77D4761}"/>
            </a:ext>
          </a:extLst>
        </xdr:cNvPr>
        <xdr:cNvSpPr/>
      </xdr:nvSpPr>
      <xdr:spPr>
        <a:xfrm>
          <a:off x="8620125" y="1266825"/>
          <a:ext cx="1809750" cy="1123950"/>
        </a:xfrm>
        <a:prstGeom prst="triangle">
          <a:avLst/>
        </a:prstGeom>
        <a:solidFill>
          <a:schemeClr val="accent2">
            <a:lumMod val="5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15</xdr:col>
      <xdr:colOff>209550</xdr:colOff>
      <xdr:row>21</xdr:row>
      <xdr:rowOff>28575</xdr:rowOff>
    </xdr:from>
    <xdr:to>
      <xdr:col>15</xdr:col>
      <xdr:colOff>476250</xdr:colOff>
      <xdr:row>22</xdr:row>
      <xdr:rowOff>133350</xdr:rowOff>
    </xdr:to>
    <xdr:sp macro="[0]!Home_Calculator" textlink="">
      <xdr:nvSpPr>
        <xdr:cNvPr id="5" name="Rectangle 4">
          <a:extLst>
            <a:ext uri="{FF2B5EF4-FFF2-40B4-BE49-F238E27FC236}">
              <a16:creationId xmlns:a16="http://schemas.microsoft.com/office/drawing/2014/main" id="{2126F0CD-D84A-4158-A4A7-FE3EBF040A6C}"/>
            </a:ext>
          </a:extLst>
        </xdr:cNvPr>
        <xdr:cNvSpPr/>
      </xdr:nvSpPr>
      <xdr:spPr>
        <a:xfrm>
          <a:off x="9353550" y="4029075"/>
          <a:ext cx="266700" cy="295275"/>
        </a:xfrm>
        <a:prstGeom prst="rect">
          <a:avLst/>
        </a:prstGeom>
        <a:solidFill>
          <a:schemeClr val="accent2">
            <a:lumMod val="60000"/>
            <a:lumOff val="4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15</xdr:col>
      <xdr:colOff>381001</xdr:colOff>
      <xdr:row>21</xdr:row>
      <xdr:rowOff>142875</xdr:rowOff>
    </xdr:from>
    <xdr:to>
      <xdr:col>15</xdr:col>
      <xdr:colOff>438151</xdr:colOff>
      <xdr:row>22</xdr:row>
      <xdr:rowOff>38101</xdr:rowOff>
    </xdr:to>
    <xdr:sp macro="[0]!Home_Calculator" textlink="">
      <xdr:nvSpPr>
        <xdr:cNvPr id="6" name="Oval 5">
          <a:extLst>
            <a:ext uri="{FF2B5EF4-FFF2-40B4-BE49-F238E27FC236}">
              <a16:creationId xmlns:a16="http://schemas.microsoft.com/office/drawing/2014/main" id="{A13ACA1B-3500-4713-8401-C5E796A3352D}"/>
            </a:ext>
          </a:extLst>
        </xdr:cNvPr>
        <xdr:cNvSpPr/>
      </xdr:nvSpPr>
      <xdr:spPr>
        <a:xfrm>
          <a:off x="9525001" y="4143375"/>
          <a:ext cx="57150" cy="85726"/>
        </a:xfrm>
        <a:prstGeom prst="ellipse">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2C688E-F5F8-477E-AEBE-B00A9BE2ABD2}">
  <sheetPr codeName="Sheet1"/>
  <dimension ref="A1:R36"/>
  <sheetViews>
    <sheetView showGridLines="0" showRowColHeaders="0" tabSelected="1" workbookViewId="0">
      <selection activeCell="B20" sqref="B20"/>
    </sheetView>
  </sheetViews>
  <sheetFormatPr defaultColWidth="0" defaultRowHeight="15" customHeight="1" zeroHeight="1" x14ac:dyDescent="0.25"/>
  <cols>
    <col min="1" max="18" width="9.140625" customWidth="1"/>
    <col min="19" max="16384" width="9.140625" hidden="1"/>
  </cols>
  <sheetData>
    <row r="1" customFormat="1" x14ac:dyDescent="0.25"/>
    <row r="2" customFormat="1" x14ac:dyDescent="0.25"/>
    <row r="3" customFormat="1" x14ac:dyDescent="0.25"/>
    <row r="4" customFormat="1" x14ac:dyDescent="0.25"/>
    <row r="5" customFormat="1" x14ac:dyDescent="0.25"/>
    <row r="6" customFormat="1" x14ac:dyDescent="0.25"/>
    <row r="7" customFormat="1" x14ac:dyDescent="0.25"/>
    <row r="8" customFormat="1" x14ac:dyDescent="0.25"/>
    <row r="9" customFormat="1" x14ac:dyDescent="0.25"/>
    <row r="10" customFormat="1" x14ac:dyDescent="0.25"/>
    <row r="11" customFormat="1" x14ac:dyDescent="0.25"/>
    <row r="12" customFormat="1" x14ac:dyDescent="0.25"/>
    <row r="13" customFormat="1" x14ac:dyDescent="0.25"/>
    <row r="14" customFormat="1" x14ac:dyDescent="0.25"/>
    <row r="15" customFormat="1" x14ac:dyDescent="0.25"/>
    <row r="16" customFormat="1" x14ac:dyDescent="0.25"/>
    <row r="17" customFormat="1" x14ac:dyDescent="0.25"/>
    <row r="18" customFormat="1" x14ac:dyDescent="0.25"/>
    <row r="19" customFormat="1" x14ac:dyDescent="0.25"/>
    <row r="20" customFormat="1" x14ac:dyDescent="0.25"/>
    <row r="21" customFormat="1" x14ac:dyDescent="0.25"/>
    <row r="22" customFormat="1" x14ac:dyDescent="0.25"/>
    <row r="23" customFormat="1" x14ac:dyDescent="0.25"/>
    <row r="24" customFormat="1" x14ac:dyDescent="0.25"/>
    <row r="25" customFormat="1" x14ac:dyDescent="0.25"/>
    <row r="26" customFormat="1" x14ac:dyDescent="0.25"/>
    <row r="27" customFormat="1" x14ac:dyDescent="0.25"/>
    <row r="28" customFormat="1" x14ac:dyDescent="0.25"/>
    <row r="36" spans="3:3" hidden="1" x14ac:dyDescent="0.25">
      <c r="C36" s="12"/>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A07CC6-8275-435E-AFA8-F153393CD8B5}">
  <sheetPr codeName="Data"/>
  <dimension ref="A1:U32"/>
  <sheetViews>
    <sheetView topLeftCell="P1" workbookViewId="0">
      <selection activeCell="D15" sqref="D15"/>
    </sheetView>
  </sheetViews>
  <sheetFormatPr defaultRowHeight="15" x14ac:dyDescent="0.25"/>
  <cols>
    <col min="1" max="1" width="12.5703125" bestFit="1" customWidth="1"/>
    <col min="2" max="2" width="12.140625" customWidth="1"/>
    <col min="4" max="4" width="12" customWidth="1"/>
    <col min="5" max="5" width="11.140625" customWidth="1"/>
    <col min="11" max="11" width="12" customWidth="1"/>
    <col min="12" max="12" width="12.28515625" customWidth="1"/>
    <col min="14" max="14" width="25.42578125" customWidth="1"/>
    <col min="17" max="17" width="11.5703125" bestFit="1" customWidth="1"/>
    <col min="20" max="20" width="16.5703125" customWidth="1"/>
    <col min="21" max="21" width="7.85546875" customWidth="1"/>
  </cols>
  <sheetData>
    <row r="1" spans="1:21" ht="15.75" x14ac:dyDescent="0.25">
      <c r="A1" s="15" t="s">
        <v>3</v>
      </c>
      <c r="B1" s="15"/>
      <c r="C1" s="15"/>
      <c r="D1" s="15"/>
      <c r="E1" s="15"/>
      <c r="F1" s="15"/>
      <c r="G1" s="15"/>
      <c r="H1" s="15"/>
      <c r="I1" s="15"/>
      <c r="J1" s="15"/>
      <c r="K1" s="15"/>
      <c r="L1" s="15"/>
      <c r="N1" s="16" t="s">
        <v>21</v>
      </c>
      <c r="O1" s="16"/>
      <c r="Q1" s="17" t="s">
        <v>22</v>
      </c>
      <c r="R1" s="17"/>
      <c r="S1" s="17"/>
      <c r="T1" s="17"/>
      <c r="U1" s="17"/>
    </row>
    <row r="2" spans="1:21" ht="27.75" customHeight="1" x14ac:dyDescent="0.25">
      <c r="A2" s="10" t="s">
        <v>0</v>
      </c>
      <c r="B2" s="10">
        <v>500</v>
      </c>
      <c r="D2" s="10" t="s">
        <v>1</v>
      </c>
      <c r="E2" s="10">
        <v>50</v>
      </c>
      <c r="Q2" s="18" t="s">
        <v>14</v>
      </c>
      <c r="R2" s="18"/>
      <c r="T2" s="18" t="s">
        <v>20</v>
      </c>
      <c r="U2" s="18"/>
    </row>
    <row r="3" spans="1:21" ht="27.75" customHeight="1" x14ac:dyDescent="0.25">
      <c r="A3" s="2" t="s">
        <v>2</v>
      </c>
      <c r="B3" s="3" t="s">
        <v>3</v>
      </c>
      <c r="D3" s="2" t="s">
        <v>4</v>
      </c>
      <c r="E3" s="3" t="s">
        <v>3</v>
      </c>
      <c r="G3" s="15" t="s">
        <v>5</v>
      </c>
      <c r="H3" s="15"/>
      <c r="K3" s="2" t="s">
        <v>8</v>
      </c>
      <c r="L3" s="3" t="s">
        <v>3</v>
      </c>
      <c r="N3" s="4" t="s">
        <v>9</v>
      </c>
      <c r="O3" s="5" t="s">
        <v>10</v>
      </c>
      <c r="Q3" s="11" t="s">
        <v>15</v>
      </c>
      <c r="R3" s="11" t="s">
        <v>16</v>
      </c>
      <c r="T3" s="11" t="s">
        <v>15</v>
      </c>
      <c r="U3" s="11" t="s">
        <v>16</v>
      </c>
    </row>
    <row r="4" spans="1:21" x14ac:dyDescent="0.25">
      <c r="A4" s="8">
        <v>80000</v>
      </c>
      <c r="B4" s="9">
        <v>0.56000000000000005</v>
      </c>
      <c r="D4" s="14">
        <v>1</v>
      </c>
      <c r="E4" s="7">
        <v>0.8</v>
      </c>
      <c r="G4" t="s">
        <v>6</v>
      </c>
      <c r="H4" s="7">
        <v>1</v>
      </c>
      <c r="K4" s="13">
        <v>250</v>
      </c>
      <c r="L4" s="7">
        <v>1</v>
      </c>
      <c r="N4" t="s">
        <v>11</v>
      </c>
      <c r="O4" s="1">
        <v>0.2</v>
      </c>
      <c r="Q4" s="6">
        <v>2500</v>
      </c>
      <c r="R4" s="6">
        <v>0</v>
      </c>
      <c r="T4" t="s">
        <v>17</v>
      </c>
      <c r="U4" s="6">
        <v>0</v>
      </c>
    </row>
    <row r="5" spans="1:21" x14ac:dyDescent="0.25">
      <c r="A5" s="8">
        <f>A4+15000</f>
        <v>95000</v>
      </c>
      <c r="B5" s="9">
        <v>0.63</v>
      </c>
      <c r="D5" s="14">
        <v>2</v>
      </c>
      <c r="E5" s="7">
        <v>0.9</v>
      </c>
      <c r="G5" t="s">
        <v>7</v>
      </c>
      <c r="H5" s="7">
        <v>0.9</v>
      </c>
      <c r="K5" s="13">
        <v>500</v>
      </c>
      <c r="L5" s="7">
        <v>0.95</v>
      </c>
      <c r="N5" t="s">
        <v>12</v>
      </c>
      <c r="O5" s="1">
        <v>0.1</v>
      </c>
      <c r="Q5" s="6">
        <v>5000</v>
      </c>
      <c r="R5" s="6">
        <v>35</v>
      </c>
      <c r="T5" t="s">
        <v>18</v>
      </c>
      <c r="U5" s="6">
        <v>25</v>
      </c>
    </row>
    <row r="6" spans="1:21" x14ac:dyDescent="0.25">
      <c r="A6" s="8">
        <f>A5+15000</f>
        <v>110000</v>
      </c>
      <c r="B6" s="9">
        <v>0.69</v>
      </c>
      <c r="D6" s="14">
        <v>3</v>
      </c>
      <c r="E6" s="7">
        <v>1</v>
      </c>
      <c r="K6" s="13">
        <v>1000</v>
      </c>
      <c r="L6" s="7">
        <v>0.85</v>
      </c>
      <c r="N6" t="s">
        <v>13</v>
      </c>
      <c r="O6" s="1">
        <v>7.0000000000000007E-2</v>
      </c>
      <c r="Q6" s="6">
        <v>10000</v>
      </c>
      <c r="R6" s="6">
        <v>60</v>
      </c>
      <c r="T6" t="s">
        <v>19</v>
      </c>
      <c r="U6" s="6">
        <v>45</v>
      </c>
    </row>
    <row r="7" spans="1:21" x14ac:dyDescent="0.25">
      <c r="A7" s="8">
        <f>A6+15000</f>
        <v>125000</v>
      </c>
      <c r="B7" s="9">
        <v>0.75</v>
      </c>
      <c r="D7" s="14">
        <v>4</v>
      </c>
      <c r="E7" s="7">
        <v>1.1000000000000001</v>
      </c>
      <c r="K7" s="13">
        <v>5000</v>
      </c>
      <c r="L7" s="7">
        <v>0.7</v>
      </c>
    </row>
    <row r="8" spans="1:21" x14ac:dyDescent="0.25">
      <c r="A8" s="8">
        <f t="shared" ref="A8:A32" si="0">A7+15000</f>
        <v>140000</v>
      </c>
      <c r="B8" s="9">
        <v>0.81</v>
      </c>
      <c r="D8" s="14">
        <v>5</v>
      </c>
      <c r="E8" s="7">
        <v>1.1499999999999999</v>
      </c>
    </row>
    <row r="9" spans="1:21" x14ac:dyDescent="0.25">
      <c r="A9" s="8">
        <f t="shared" si="0"/>
        <v>155000</v>
      </c>
      <c r="B9" s="9">
        <v>0.86</v>
      </c>
    </row>
    <row r="10" spans="1:21" x14ac:dyDescent="0.25">
      <c r="A10" s="8">
        <f t="shared" si="0"/>
        <v>170000</v>
      </c>
      <c r="B10" s="9">
        <v>0.91</v>
      </c>
    </row>
    <row r="11" spans="1:21" x14ac:dyDescent="0.25">
      <c r="A11" s="8">
        <f t="shared" si="0"/>
        <v>185000</v>
      </c>
      <c r="B11" s="9">
        <v>0.96</v>
      </c>
    </row>
    <row r="12" spans="1:21" x14ac:dyDescent="0.25">
      <c r="A12" s="8">
        <f t="shared" si="0"/>
        <v>200000</v>
      </c>
      <c r="B12" s="9">
        <v>1</v>
      </c>
    </row>
    <row r="13" spans="1:21" x14ac:dyDescent="0.25">
      <c r="A13" s="8">
        <f t="shared" si="0"/>
        <v>215000</v>
      </c>
      <c r="B13" s="9">
        <v>1.04</v>
      </c>
    </row>
    <row r="14" spans="1:21" x14ac:dyDescent="0.25">
      <c r="A14" s="8">
        <f t="shared" si="0"/>
        <v>230000</v>
      </c>
      <c r="B14" s="9">
        <v>1.08</v>
      </c>
    </row>
    <row r="15" spans="1:21" x14ac:dyDescent="0.25">
      <c r="A15" s="8">
        <f t="shared" si="0"/>
        <v>245000</v>
      </c>
      <c r="B15" s="9">
        <v>1.1200000000000001</v>
      </c>
    </row>
    <row r="16" spans="1:21" x14ac:dyDescent="0.25">
      <c r="A16" s="8">
        <f t="shared" si="0"/>
        <v>260000</v>
      </c>
      <c r="B16" s="9">
        <v>1.1599999999999999</v>
      </c>
    </row>
    <row r="17" spans="1:2" x14ac:dyDescent="0.25">
      <c r="A17" s="8">
        <f t="shared" si="0"/>
        <v>275000</v>
      </c>
      <c r="B17" s="9">
        <v>1.2</v>
      </c>
    </row>
    <row r="18" spans="1:2" x14ac:dyDescent="0.25">
      <c r="A18" s="8">
        <f t="shared" si="0"/>
        <v>290000</v>
      </c>
      <c r="B18" s="9">
        <v>1.24</v>
      </c>
    </row>
    <row r="19" spans="1:2" x14ac:dyDescent="0.25">
      <c r="A19" s="8">
        <f t="shared" si="0"/>
        <v>305000</v>
      </c>
      <c r="B19" s="9">
        <v>1.28</v>
      </c>
    </row>
    <row r="20" spans="1:2" x14ac:dyDescent="0.25">
      <c r="A20" s="8">
        <f t="shared" si="0"/>
        <v>320000</v>
      </c>
      <c r="B20" s="9">
        <v>1.32</v>
      </c>
    </row>
    <row r="21" spans="1:2" x14ac:dyDescent="0.25">
      <c r="A21" s="8">
        <f t="shared" si="0"/>
        <v>335000</v>
      </c>
      <c r="B21" s="9">
        <v>1.36</v>
      </c>
    </row>
    <row r="22" spans="1:2" x14ac:dyDescent="0.25">
      <c r="A22" s="8">
        <f t="shared" si="0"/>
        <v>350000</v>
      </c>
      <c r="B22" s="9">
        <v>1.39</v>
      </c>
    </row>
    <row r="23" spans="1:2" x14ac:dyDescent="0.25">
      <c r="A23" s="8">
        <f t="shared" si="0"/>
        <v>365000</v>
      </c>
      <c r="B23" s="9">
        <v>1.42</v>
      </c>
    </row>
    <row r="24" spans="1:2" x14ac:dyDescent="0.25">
      <c r="A24" s="8">
        <f t="shared" si="0"/>
        <v>380000</v>
      </c>
      <c r="B24" s="9">
        <v>1.45</v>
      </c>
    </row>
    <row r="25" spans="1:2" x14ac:dyDescent="0.25">
      <c r="A25" s="8">
        <f t="shared" si="0"/>
        <v>395000</v>
      </c>
      <c r="B25" s="9">
        <v>1.48</v>
      </c>
    </row>
    <row r="26" spans="1:2" x14ac:dyDescent="0.25">
      <c r="A26" s="8">
        <f t="shared" si="0"/>
        <v>410000</v>
      </c>
      <c r="B26" s="9">
        <v>1.51</v>
      </c>
    </row>
    <row r="27" spans="1:2" x14ac:dyDescent="0.25">
      <c r="A27" s="8">
        <f t="shared" si="0"/>
        <v>425000</v>
      </c>
      <c r="B27" s="9">
        <v>1.54</v>
      </c>
    </row>
    <row r="28" spans="1:2" x14ac:dyDescent="0.25">
      <c r="A28" s="8">
        <f t="shared" si="0"/>
        <v>440000</v>
      </c>
      <c r="B28" s="9">
        <v>1.57</v>
      </c>
    </row>
    <row r="29" spans="1:2" x14ac:dyDescent="0.25">
      <c r="A29" s="8">
        <f t="shared" si="0"/>
        <v>455000</v>
      </c>
      <c r="B29" s="9">
        <v>1.6</v>
      </c>
    </row>
    <row r="30" spans="1:2" x14ac:dyDescent="0.25">
      <c r="A30" s="8">
        <f t="shared" si="0"/>
        <v>470000</v>
      </c>
      <c r="B30" s="9">
        <v>1.63</v>
      </c>
    </row>
    <row r="31" spans="1:2" x14ac:dyDescent="0.25">
      <c r="A31" s="8">
        <f t="shared" si="0"/>
        <v>485000</v>
      </c>
      <c r="B31" s="9">
        <v>1.66</v>
      </c>
    </row>
    <row r="32" spans="1:2" x14ac:dyDescent="0.25">
      <c r="A32" s="8">
        <f t="shared" si="0"/>
        <v>500000</v>
      </c>
      <c r="B32" s="9">
        <v>1.69</v>
      </c>
    </row>
  </sheetData>
  <mergeCells count="6">
    <mergeCell ref="A1:L1"/>
    <mergeCell ref="N1:O1"/>
    <mergeCell ref="Q1:U1"/>
    <mergeCell ref="G3:H3"/>
    <mergeCell ref="Q2:R2"/>
    <mergeCell ref="T2:U2"/>
  </mergeCells>
  <pageMargins left="0.7" right="0.7" top="0.75" bottom="0.75" header="0.3" footer="0.3"/>
  <pageSetup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Home</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Kerelle Thompson</dc:creator>
  <cp:lastModifiedBy>Cyprain Thompson</cp:lastModifiedBy>
  <dcterms:created xsi:type="dcterms:W3CDTF">2021-12-30T02:02:44Z</dcterms:created>
  <dcterms:modified xsi:type="dcterms:W3CDTF">2021-12-31T02:30:27Z</dcterms:modified>
</cp:coreProperties>
</file>