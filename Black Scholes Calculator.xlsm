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d0ed6c1d5bfb680/Documents/Excel VBA/"/>
    </mc:Choice>
  </mc:AlternateContent>
  <xr:revisionPtr revIDLastSave="59" documentId="8_{9E04699B-5E78-4F57-81BE-7C4564CED07B}" xr6:coauthVersionLast="47" xr6:coauthVersionMax="47" xr10:uidLastSave="{D5FF0C9F-F4A4-4F39-840F-1D23DACAB8EB}"/>
  <bookViews>
    <workbookView xWindow="33570" yWindow="-6540" windowWidth="15645" windowHeight="15570" xr2:uid="{0A2150D7-02FF-4852-B3DC-914FF025900D}"/>
  </bookViews>
  <sheets>
    <sheet name="Input" sheetId="2" r:id="rId1"/>
    <sheet name="Data" sheetId="1" r:id="rId2"/>
  </sheets>
  <definedNames>
    <definedName name="CorP">Input!$C$19</definedName>
    <definedName name="DivRate">Input!$H$11</definedName>
    <definedName name="ExerciseP">Input!$H$7</definedName>
    <definedName name="IntRate">Input!$C$11</definedName>
    <definedName name="matdate">Input!$H$15</definedName>
    <definedName name="StockP">Input!$C$7</definedName>
    <definedName name="Vol">Input!$C$15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2" l="1"/>
  <c r="I15" i="2"/>
  <c r="I11" i="2"/>
  <c r="I7" i="2"/>
  <c r="D15" i="2"/>
  <c r="D11" i="2"/>
  <c r="D7" i="2"/>
</calcChain>
</file>

<file path=xl/sharedStrings.xml><?xml version="1.0" encoding="utf-8"?>
<sst xmlns="http://schemas.openxmlformats.org/spreadsheetml/2006/main" count="26" uniqueCount="22">
  <si>
    <t>Stock Price</t>
  </si>
  <si>
    <t>Exercise Price</t>
  </si>
  <si>
    <t>Risk-free Interest Rate</t>
  </si>
  <si>
    <t>Dividend</t>
  </si>
  <si>
    <t>Volatility</t>
  </si>
  <si>
    <t>Call/Put</t>
  </si>
  <si>
    <t>Answer</t>
  </si>
  <si>
    <t>Time to Maturity</t>
  </si>
  <si>
    <t>v 1.0 2021/12/01</t>
  </si>
  <si>
    <t>Interest Rate</t>
  </si>
  <si>
    <t>Dividend Rate</t>
  </si>
  <si>
    <t>Option Type</t>
  </si>
  <si>
    <t>Input Interest Rate</t>
  </si>
  <si>
    <t xml:space="preserve">Input Stock Price     </t>
  </si>
  <si>
    <t xml:space="preserve">Input Volatility       </t>
  </si>
  <si>
    <t xml:space="preserve">Input Dividend Rate   </t>
  </si>
  <si>
    <t xml:space="preserve">Input Time to Maturity </t>
  </si>
  <si>
    <t xml:space="preserve">Input Exercise Price     </t>
  </si>
  <si>
    <t>Call</t>
  </si>
  <si>
    <t>Put</t>
  </si>
  <si>
    <t>Choose Pricing Option</t>
  </si>
  <si>
    <t>*in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</si>
</sst>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6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0" tint="-0.14993743705557422"/>
      </right>
      <top style="thin">
        <color theme="1" tint="0.499984740745262"/>
      </top>
      <bottom style="thin">
        <color theme="0" tint="-0.1499374370555742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1" tint="0.49998474074526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7" xfId="0" applyFont="1" applyBorder="1"/>
    <xf numFmtId="7" fontId="0" fillId="0" borderId="0" xfId="0" applyNumberFormat="1"/>
    <xf numFmtId="0" fontId="2" fillId="0" borderId="7" xfId="0" applyFont="1" applyBorder="1" applyAlignment="1">
      <alignment horizontal="right"/>
    </xf>
    <xf numFmtId="166" fontId="1" fillId="0" borderId="0" xfId="0" applyNumberFormat="1" applyFont="1"/>
    <xf numFmtId="166" fontId="0" fillId="0" borderId="0" xfId="0" applyNumberFormat="1"/>
    <xf numFmtId="0" fontId="0" fillId="0" borderId="10" xfId="0" applyBorder="1"/>
    <xf numFmtId="0" fontId="3" fillId="0" borderId="11" xfId="0" applyFont="1" applyBorder="1" applyAlignment="1">
      <alignment horizontal="right"/>
    </xf>
    <xf numFmtId="0" fontId="3" fillId="0" borderId="9" xfId="0" applyFont="1" applyBorder="1" applyAlignment="1">
      <alignment horizontal="right"/>
    </xf>
    <xf numFmtId="166" fontId="0" fillId="0" borderId="10" xfId="0" applyNumberFormat="1" applyBorder="1"/>
    <xf numFmtId="2" fontId="0" fillId="0" borderId="1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1</xdr:row>
      <xdr:rowOff>28575</xdr:rowOff>
    </xdr:from>
    <xdr:to>
      <xdr:col>9</xdr:col>
      <xdr:colOff>381000</xdr:colOff>
      <xdr:row>2</xdr:row>
      <xdr:rowOff>180975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DEF692-52F1-405A-887E-4788BB514849}"/>
            </a:ext>
          </a:extLst>
        </xdr:cNvPr>
        <xdr:cNvSpPr/>
      </xdr:nvSpPr>
      <xdr:spPr>
        <a:xfrm>
          <a:off x="1657350" y="219075"/>
          <a:ext cx="4914900" cy="3429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Comic Sans MS" panose="030F0702030302020204" pitchFamily="66" charset="0"/>
            </a:rPr>
            <a:t>Pricing of Options using Black-Scholes Model</a:t>
          </a:r>
        </a:p>
      </xdr:txBody>
    </xdr:sp>
    <xdr:clientData/>
  </xdr:twoCellAnchor>
  <xdr:twoCellAnchor>
    <xdr:from>
      <xdr:col>6</xdr:col>
      <xdr:colOff>171450</xdr:colOff>
      <xdr:row>19</xdr:row>
      <xdr:rowOff>161925</xdr:rowOff>
    </xdr:from>
    <xdr:to>
      <xdr:col>9</xdr:col>
      <xdr:colOff>0</xdr:colOff>
      <xdr:row>22</xdr:row>
      <xdr:rowOff>171450</xdr:rowOff>
    </xdr:to>
    <xdr:sp macro="[0]!BlackSchol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F65F50-A851-461D-81C1-3C824E94889F}"/>
            </a:ext>
          </a:extLst>
        </xdr:cNvPr>
        <xdr:cNvSpPr/>
      </xdr:nvSpPr>
      <xdr:spPr>
        <a:xfrm>
          <a:off x="3676650" y="3762375"/>
          <a:ext cx="2381250" cy="58102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/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43BBE-917C-431C-B207-CE8334A37564}">
  <sheetPr codeName="Sheet1"/>
  <dimension ref="B1:XFD44"/>
  <sheetViews>
    <sheetView showGridLines="0" tabSelected="1" workbookViewId="0">
      <selection activeCell="C22" sqref="C22"/>
    </sheetView>
  </sheetViews>
  <sheetFormatPr defaultColWidth="0" defaultRowHeight="15" zeroHeight="1" x14ac:dyDescent="0.25"/>
  <cols>
    <col min="1" max="1" width="9.140625" customWidth="1"/>
    <col min="2" max="2" width="12.7109375" customWidth="1"/>
    <col min="3" max="3" width="20.7109375" customWidth="1"/>
    <col min="4" max="4" width="1" customWidth="1"/>
    <col min="5" max="5" width="4.5703125" customWidth="1"/>
    <col min="6" max="6" width="4" customWidth="1"/>
    <col min="7" max="7" width="16" customWidth="1"/>
    <col min="8" max="8" width="21.28515625" customWidth="1"/>
    <col min="9" max="9" width="2.28515625" customWidth="1"/>
    <col min="10" max="12" width="9.140625" customWidth="1"/>
    <col min="13" max="16380" width="9.140625" hidden="1"/>
    <col min="16381" max="16381" width="7.140625" hidden="1"/>
    <col min="16382" max="16382" width="6.28515625" hidden="1"/>
    <col min="16383" max="16383" width="18.85546875" hidden="1"/>
    <col min="16384" max="16384" width="1.5703125" hidden="1"/>
  </cols>
  <sheetData>
    <row r="1" spans="2:16" x14ac:dyDescent="0.25"/>
    <row r="2" spans="2:16" x14ac:dyDescent="0.25">
      <c r="B2" s="2"/>
      <c r="C2" s="3"/>
      <c r="D2" s="3"/>
      <c r="E2" s="3"/>
      <c r="F2" s="3"/>
      <c r="G2" s="3"/>
      <c r="H2" s="3"/>
      <c r="I2" s="3"/>
      <c r="J2" s="3"/>
      <c r="K2" s="4"/>
    </row>
    <row r="3" spans="2:16" x14ac:dyDescent="0.25">
      <c r="B3" s="5"/>
      <c r="C3" s="6"/>
      <c r="D3" s="6"/>
      <c r="E3" s="6"/>
      <c r="F3" s="6"/>
      <c r="G3" s="6"/>
      <c r="H3" s="6"/>
      <c r="I3" s="6"/>
      <c r="J3" s="6"/>
      <c r="K3" s="7"/>
    </row>
    <row r="4" spans="2:16" ht="13.5" customHeight="1" x14ac:dyDescent="0.25">
      <c r="B4" s="8"/>
      <c r="C4" s="9"/>
      <c r="D4" s="11"/>
      <c r="E4" s="13" t="s">
        <v>8</v>
      </c>
      <c r="F4" s="9"/>
      <c r="G4" s="9"/>
      <c r="H4" s="9"/>
      <c r="I4" s="9"/>
      <c r="J4" s="9"/>
      <c r="K4" s="10"/>
    </row>
    <row r="5" spans="2:16" x14ac:dyDescent="0.25">
      <c r="B5" s="5"/>
      <c r="C5" s="6"/>
      <c r="D5" s="6"/>
      <c r="E5" s="6"/>
      <c r="F5" s="6"/>
      <c r="G5" s="6"/>
      <c r="H5" s="6"/>
      <c r="I5" s="6"/>
      <c r="J5" s="6"/>
      <c r="K5" s="7"/>
    </row>
    <row r="6" spans="2:16" x14ac:dyDescent="0.25">
      <c r="B6" s="5"/>
      <c r="C6" s="6"/>
      <c r="D6" s="6"/>
      <c r="E6" s="6"/>
      <c r="F6" s="6"/>
      <c r="G6" s="6"/>
      <c r="H6" s="6"/>
      <c r="I6" s="6"/>
      <c r="J6" s="6"/>
      <c r="K6" s="7"/>
    </row>
    <row r="7" spans="2:16" x14ac:dyDescent="0.25">
      <c r="B7" s="5" t="s">
        <v>0</v>
      </c>
      <c r="C7" s="19"/>
      <c r="D7" s="17" t="str">
        <f>IF(C7="",M7,"")</f>
        <v xml:space="preserve">Input Stock Price     </v>
      </c>
      <c r="E7" s="6"/>
      <c r="F7" s="6"/>
      <c r="G7" s="6" t="s">
        <v>1</v>
      </c>
      <c r="H7" s="19"/>
      <c r="I7" s="17" t="str">
        <f>IF(H7="",P7,"")</f>
        <v xml:space="preserve">Input Exercise Price     </v>
      </c>
      <c r="J7" s="6"/>
      <c r="K7" s="7"/>
      <c r="M7" t="s">
        <v>13</v>
      </c>
      <c r="P7" t="s">
        <v>17</v>
      </c>
    </row>
    <row r="8" spans="2:16" x14ac:dyDescent="0.25">
      <c r="B8" s="5"/>
      <c r="C8" s="6"/>
      <c r="D8" s="6"/>
      <c r="E8" s="6"/>
      <c r="F8" s="6"/>
      <c r="G8" s="6"/>
      <c r="H8" s="6"/>
      <c r="I8" s="6"/>
      <c r="J8" s="6"/>
      <c r="K8" s="7"/>
    </row>
    <row r="9" spans="2:16" x14ac:dyDescent="0.25">
      <c r="B9" s="5"/>
      <c r="C9" s="6"/>
      <c r="D9" s="6"/>
      <c r="E9" s="6"/>
      <c r="F9" s="6"/>
      <c r="G9" s="6"/>
      <c r="H9" s="6"/>
      <c r="I9" s="6"/>
      <c r="J9" s="6"/>
      <c r="K9" s="7"/>
    </row>
    <row r="10" spans="2:16" x14ac:dyDescent="0.25">
      <c r="B10" s="5"/>
      <c r="C10" s="6"/>
      <c r="D10" s="6"/>
      <c r="E10" s="6"/>
      <c r="F10" s="6"/>
      <c r="G10" s="6"/>
      <c r="H10" s="6"/>
      <c r="I10" s="6"/>
      <c r="J10" s="6"/>
      <c r="K10" s="7"/>
    </row>
    <row r="11" spans="2:16" x14ac:dyDescent="0.25">
      <c r="B11" s="5" t="s">
        <v>9</v>
      </c>
      <c r="C11" s="20"/>
      <c r="D11" s="17" t="str">
        <f>IF(C11="",M11,"")</f>
        <v>Input Interest Rate</v>
      </c>
      <c r="E11" s="6"/>
      <c r="F11" s="6"/>
      <c r="G11" s="6" t="s">
        <v>10</v>
      </c>
      <c r="H11" s="20"/>
      <c r="I11" s="17" t="str">
        <f>IF(H11="",P11,"")</f>
        <v xml:space="preserve">Input Dividend Rate   </v>
      </c>
      <c r="J11" s="6"/>
      <c r="K11" s="7"/>
      <c r="M11" t="s">
        <v>12</v>
      </c>
      <c r="P11" t="s">
        <v>15</v>
      </c>
    </row>
    <row r="12" spans="2:16" x14ac:dyDescent="0.25">
      <c r="B12" s="5"/>
      <c r="C12" s="6"/>
      <c r="D12" s="6"/>
      <c r="E12" s="6"/>
      <c r="F12" s="6"/>
      <c r="G12" s="6"/>
      <c r="H12" s="6"/>
      <c r="I12" s="6"/>
      <c r="J12" s="6"/>
      <c r="K12" s="7"/>
    </row>
    <row r="13" spans="2:16" x14ac:dyDescent="0.25">
      <c r="B13" s="5"/>
      <c r="C13" s="6"/>
      <c r="D13" s="6"/>
      <c r="E13" s="6"/>
      <c r="F13" s="6"/>
      <c r="G13" s="6"/>
      <c r="H13" s="6"/>
      <c r="I13" s="6"/>
      <c r="J13" s="6"/>
      <c r="K13" s="7"/>
    </row>
    <row r="14" spans="2:16" x14ac:dyDescent="0.25">
      <c r="B14" s="5"/>
      <c r="C14" s="6"/>
      <c r="D14" s="6"/>
      <c r="E14" s="6"/>
      <c r="F14" s="6"/>
      <c r="G14" s="6"/>
      <c r="H14" s="6"/>
      <c r="I14" s="6"/>
      <c r="J14" s="6"/>
      <c r="K14" s="7"/>
    </row>
    <row r="15" spans="2:16" x14ac:dyDescent="0.25">
      <c r="B15" s="5" t="s">
        <v>4</v>
      </c>
      <c r="C15" s="20"/>
      <c r="D15" s="17" t="str">
        <f>IF(C15="",M15,"")</f>
        <v xml:space="preserve">Input Volatility       </v>
      </c>
      <c r="E15" s="6"/>
      <c r="F15" s="6"/>
      <c r="G15" s="6" t="s">
        <v>7</v>
      </c>
      <c r="H15" s="16"/>
      <c r="I15" s="17" t="str">
        <f>IF(H15="",P15,"")</f>
        <v xml:space="preserve">Input Time to Maturity </v>
      </c>
      <c r="J15" s="6" t="s">
        <v>21</v>
      </c>
      <c r="K15" s="7"/>
      <c r="M15" t="s">
        <v>14</v>
      </c>
      <c r="P15" t="s">
        <v>16</v>
      </c>
    </row>
    <row r="16" spans="2:16" x14ac:dyDescent="0.25">
      <c r="B16" s="5"/>
      <c r="C16" s="6"/>
      <c r="D16" s="6"/>
      <c r="E16" s="6"/>
      <c r="F16" s="6"/>
      <c r="G16" s="6"/>
      <c r="H16" s="6"/>
      <c r="I16" s="6"/>
      <c r="J16" s="6"/>
      <c r="K16" s="7"/>
    </row>
    <row r="17" spans="2:16" x14ac:dyDescent="0.25">
      <c r="B17" s="5"/>
      <c r="C17" s="6"/>
      <c r="D17" s="6"/>
      <c r="E17" s="6"/>
      <c r="F17" s="6"/>
      <c r="G17" s="6"/>
      <c r="H17" s="6"/>
      <c r="I17" s="6"/>
      <c r="J17" s="6"/>
      <c r="K17" s="7"/>
    </row>
    <row r="18" spans="2:16" x14ac:dyDescent="0.25">
      <c r="B18" s="5"/>
      <c r="C18" s="6"/>
      <c r="D18" s="6"/>
      <c r="E18" s="6"/>
      <c r="F18" s="6"/>
      <c r="G18" s="6"/>
      <c r="H18" s="6"/>
      <c r="I18" s="6"/>
      <c r="J18" s="6"/>
      <c r="K18" s="7"/>
      <c r="M18" t="s">
        <v>18</v>
      </c>
      <c r="P18" t="s">
        <v>20</v>
      </c>
    </row>
    <row r="19" spans="2:16" x14ac:dyDescent="0.25">
      <c r="B19" s="5" t="s">
        <v>11</v>
      </c>
      <c r="C19" s="16"/>
      <c r="D19" s="18" t="str">
        <f>IF(C19="", P18,"")</f>
        <v>Choose Pricing Option</v>
      </c>
      <c r="E19" s="6"/>
      <c r="F19" s="6"/>
      <c r="G19" s="6"/>
      <c r="H19" s="6"/>
      <c r="I19" s="6"/>
      <c r="J19" s="6"/>
      <c r="K19" s="7"/>
      <c r="M19" t="s">
        <v>19</v>
      </c>
    </row>
    <row r="20" spans="2:16" x14ac:dyDescent="0.25">
      <c r="B20" s="5"/>
      <c r="C20" s="6"/>
      <c r="D20" s="6"/>
      <c r="E20" s="6"/>
      <c r="F20" s="6"/>
      <c r="G20" s="6"/>
      <c r="H20" s="6"/>
      <c r="I20" s="6"/>
      <c r="J20" s="6"/>
      <c r="K20" s="7"/>
    </row>
    <row r="21" spans="2:16" x14ac:dyDescent="0.25">
      <c r="B21" s="5"/>
      <c r="C21" s="6"/>
      <c r="D21" s="6"/>
      <c r="E21" s="6"/>
      <c r="F21" s="6"/>
      <c r="G21" s="6"/>
      <c r="H21" s="6"/>
      <c r="I21" s="6"/>
      <c r="J21" s="6"/>
      <c r="K21" s="7"/>
    </row>
    <row r="22" spans="2:16" x14ac:dyDescent="0.25">
      <c r="B22" s="5"/>
      <c r="C22" s="6"/>
      <c r="D22" s="6"/>
      <c r="E22" s="6"/>
      <c r="F22" s="6"/>
      <c r="G22" s="6"/>
      <c r="H22" s="6"/>
      <c r="I22" s="6"/>
      <c r="J22" s="6"/>
      <c r="K22" s="7"/>
    </row>
    <row r="23" spans="2:16" x14ac:dyDescent="0.25">
      <c r="B23" s="5"/>
      <c r="C23" s="6"/>
      <c r="D23" s="6"/>
      <c r="E23" s="6"/>
      <c r="F23" s="6"/>
      <c r="G23" s="6"/>
      <c r="H23" s="6"/>
      <c r="I23" s="6"/>
      <c r="J23" s="6"/>
      <c r="K23" s="7"/>
    </row>
    <row r="24" spans="2:16" x14ac:dyDescent="0.25">
      <c r="B24" s="8"/>
      <c r="C24" s="9"/>
      <c r="D24" s="9"/>
      <c r="E24" s="9"/>
      <c r="F24" s="9"/>
      <c r="G24" s="9"/>
      <c r="H24" s="9"/>
      <c r="I24" s="9"/>
      <c r="J24" s="9"/>
      <c r="K24" s="10"/>
    </row>
    <row r="25" spans="2:16" x14ac:dyDescent="0.25"/>
    <row r="26" spans="2:16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</sheetData>
  <dataValidations count="1">
    <dataValidation type="list" allowBlank="1" showInputMessage="1" showErrorMessage="1" prompt="Choose a pricing option" sqref="C19" xr:uid="{5E99C77E-239B-425F-AD13-6CF8966DB0F5}">
      <formula1>$M$18:$M$19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72E7D-845C-48C1-B390-8DB5C0186CBA}">
  <sheetPr codeName="Sheet2"/>
  <dimension ref="A1:H6"/>
  <sheetViews>
    <sheetView workbookViewId="0">
      <selection activeCell="F13" sqref="F13"/>
    </sheetView>
  </sheetViews>
  <sheetFormatPr defaultRowHeight="15" x14ac:dyDescent="0.25"/>
  <cols>
    <col min="1" max="1" width="10.5703125" bestFit="1" customWidth="1"/>
    <col min="2" max="2" width="13.28515625" bestFit="1" customWidth="1"/>
    <col min="3" max="3" width="21.140625" bestFit="1" customWidth="1"/>
    <col min="4" max="4" width="9" bestFit="1" customWidth="1"/>
    <col min="6" max="6" width="16" bestFit="1" customWidth="1"/>
    <col min="7" max="7" width="8.140625" bestFit="1" customWidth="1"/>
    <col min="8" max="8" width="7.7109375" style="1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5</v>
      </c>
      <c r="H1" s="14" t="s">
        <v>6</v>
      </c>
    </row>
    <row r="2" spans="1:8" x14ac:dyDescent="0.25">
      <c r="A2" s="12"/>
      <c r="B2" s="12"/>
    </row>
    <row r="3" spans="1:8" x14ac:dyDescent="0.25">
      <c r="A3" s="12"/>
      <c r="B3" s="12"/>
    </row>
    <row r="4" spans="1:8" x14ac:dyDescent="0.25">
      <c r="A4" s="12"/>
      <c r="B4" s="12"/>
    </row>
    <row r="5" spans="1:8" x14ac:dyDescent="0.25">
      <c r="A5" s="12"/>
      <c r="B5" s="12"/>
    </row>
    <row r="6" spans="1:8" x14ac:dyDescent="0.25">
      <c r="A6" s="12"/>
      <c r="B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Input</vt:lpstr>
      <vt:lpstr>Data</vt:lpstr>
      <vt:lpstr>CorP</vt:lpstr>
      <vt:lpstr>DivRate</vt:lpstr>
      <vt:lpstr>ExerciseP</vt:lpstr>
      <vt:lpstr>IntRate</vt:lpstr>
      <vt:lpstr>matdate</vt:lpstr>
      <vt:lpstr>StockP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Kerelle Thompson</dc:creator>
  <cp:lastModifiedBy>Cyprain Thompson</cp:lastModifiedBy>
  <dcterms:created xsi:type="dcterms:W3CDTF">2021-12-01T18:49:28Z</dcterms:created>
  <dcterms:modified xsi:type="dcterms:W3CDTF">2021-12-02T05:58:52Z</dcterms:modified>
</cp:coreProperties>
</file>